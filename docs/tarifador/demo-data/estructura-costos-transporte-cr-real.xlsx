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stos Conductor" sheetId="2" state="visible" r:id="rId4"/>
    <sheet name="Costos Ayudante" sheetId="3" state="visible" r:id="rId5"/>
    <sheet name="Depreciacion" sheetId="4" state="visible" r:id="rId6"/>
    <sheet name="Mantenimient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Referencia al tipo de camión marcado como 'activo' en la hoja Depreciación (actualmente 3-4.5 Ton).</t>
        </r>
      </text>
    </comment>
    <comment ref="A13" authorId="0">
      <text>
        <r>
          <rPr>
            <sz val="10"/>
            <rFont val="Arial"/>
            <family val="2"/>
          </rPr>
          <t xml:space="preserve">Suma de la columna '₡/KM activo' de la hoja Mantenimiento, para el tipo de camión actualmente activo (T3, 3-4.5 Ton).</t>
        </r>
      </text>
    </comment>
    <comment ref="B4" authorId="0">
      <text>
        <r>
          <rPr>
            <sz val="10"/>
            <rFont val="Arial"/>
            <family val="2"/>
          </rPr>
          <t xml:space="preserve">Dato de entrada (editable). Los costos fijos mensuales se dividen entre este número para obtener el costo diario.</t>
        </r>
      </text>
    </comment>
  </commentList>
</comments>
</file>

<file path=xl/sharedStrings.xml><?xml version="1.0" encoding="utf-8"?>
<sst xmlns="http://schemas.openxmlformats.org/spreadsheetml/2006/main" count="170" uniqueCount="106">
  <si>
    <t xml:space="preserve">Resumen de Costos Fijos - Estructura de Costos de Transporte</t>
  </si>
  <si>
    <t xml:space="preserve">Base de Días Operativos</t>
  </si>
  <si>
    <t xml:space="preserve">Días Operativos por Mes</t>
  </si>
  <si>
    <t xml:space="preserve">Total Costos del Conductor (mensual)</t>
  </si>
  <si>
    <t xml:space="preserve">Total Costos del Ayudante (mensual)</t>
  </si>
  <si>
    <t xml:space="preserve">Cuota de Depreciación (tipo de camión activo)</t>
  </si>
  <si>
    <t xml:space="preserve">Total Costos Fijos Mensuales</t>
  </si>
  <si>
    <t xml:space="preserve">COSTO FIJO DIARIO</t>
  </si>
  <si>
    <t xml:space="preserve">Costo por KM (mantenimiento, tipo activo T3)</t>
  </si>
  <si>
    <t xml:space="preserve">Costos del Conductor</t>
  </si>
  <si>
    <t xml:space="preserve">Mensuales · se dividen entre días operativos</t>
  </si>
  <si>
    <t xml:space="preserve">Concepto</t>
  </si>
  <si>
    <t xml:space="preserve">Monto Mensual (₡)</t>
  </si>
  <si>
    <t xml:space="preserve">Salario Chofer</t>
  </si>
  <si>
    <t xml:space="preserve">Aguinaldo Chofer</t>
  </si>
  <si>
    <t xml:space="preserve">Seguro (terceros)</t>
  </si>
  <si>
    <t xml:space="preserve">Marchamo</t>
  </si>
  <si>
    <t xml:space="preserve">DEKRA</t>
  </si>
  <si>
    <t xml:space="preserve">Zapatos y chaleco</t>
  </si>
  <si>
    <t xml:space="preserve">TOTAL MENSUAL</t>
  </si>
  <si>
    <t xml:space="preserve">Costos del Ayudante</t>
  </si>
  <si>
    <t xml:space="preserve">Mensuales · aplica según tipo de camión / checkbox</t>
  </si>
  <si>
    <t xml:space="preserve">Salario Ayudante</t>
  </si>
  <si>
    <t xml:space="preserve">Aguinaldo Ayudante</t>
  </si>
  <si>
    <t xml:space="preserve">Depreciación por Tipo de Camión</t>
  </si>
  <si>
    <t xml:space="preserve">Valor del vehículo ÷ vida útil en meses = cuota mensual · se suma a costos fijos</t>
  </si>
  <si>
    <t xml:space="preserve">Tipo</t>
  </si>
  <si>
    <t xml:space="preserve">Valor Vehículo (₡)</t>
  </si>
  <si>
    <t xml:space="preserve">Vida Útil (meses)</t>
  </si>
  <si>
    <t xml:space="preserve">Cuota/Mes (₡)</t>
  </si>
  <si>
    <t xml:space="preserve">1-2.5 Ton</t>
  </si>
  <si>
    <t xml:space="preserve">3-4.5 Ton  ← activo</t>
  </si>
  <si>
    <t xml:space="preserve">5-7 Ton</t>
  </si>
  <si>
    <t xml:space="preserve">Componentes de Mantenimiento</t>
  </si>
  <si>
    <t xml:space="preserve">Costo por KM · todos los tipos de camión · tipo activo actual: T3 · 3-4.5 Ton</t>
  </si>
  <si>
    <t xml:space="preserve">Componente</t>
  </si>
  <si>
    <t xml:space="preserve">Frec. T1</t>
  </si>
  <si>
    <t xml:space="preserve">Costo T1 (₡)</t>
  </si>
  <si>
    <t xml:space="preserve">Frec. T3</t>
  </si>
  <si>
    <t xml:space="preserve">Costo T3 (₡)</t>
  </si>
  <si>
    <t xml:space="preserve">Frec. T5</t>
  </si>
  <si>
    <t xml:space="preserve">Costo T5 (₡)</t>
  </si>
  <si>
    <t xml:space="preserve">₡/KM activo</t>
  </si>
  <si>
    <t xml:space="preserve">Cantidad</t>
  </si>
  <si>
    <t xml:space="preserve">Filtro de Agua</t>
  </si>
  <si>
    <t xml:space="preserve">km</t>
  </si>
  <si>
    <t xml:space="preserve">1 UND</t>
  </si>
  <si>
    <t xml:space="preserve">Filtro de Aire</t>
  </si>
  <si>
    <t xml:space="preserve">Filtro de Aceite</t>
  </si>
  <si>
    <t xml:space="preserve">Lata de Aceite</t>
  </si>
  <si>
    <t xml:space="preserve">8/11.5 L</t>
  </si>
  <si>
    <t xml:space="preserve">Engrase General</t>
  </si>
  <si>
    <t xml:space="preserve">1 Serv</t>
  </si>
  <si>
    <t xml:space="preserve">Engrase de Cojinetes</t>
  </si>
  <si>
    <t xml:space="preserve">2 Ejes</t>
  </si>
  <si>
    <t xml:space="preserve">Engrase de Patas</t>
  </si>
  <si>
    <t xml:space="preserve">Engrase Patas/Zapatas 4 Puntas</t>
  </si>
  <si>
    <t xml:space="preserve">4 Ptos</t>
  </si>
  <si>
    <t xml:space="preserve">MO General (por hora)</t>
  </si>
  <si>
    <t xml:space="preserve">month</t>
  </si>
  <si>
    <t xml:space="preserve">1 Hora</t>
  </si>
  <si>
    <t xml:space="preserve">MO (por evento)</t>
  </si>
  <si>
    <t xml:space="preserve">MO Servicio de Frenos</t>
  </si>
  <si>
    <t xml:space="preserve">2.5/3 H</t>
  </si>
  <si>
    <t xml:space="preserve">Filtro de Diesel</t>
  </si>
  <si>
    <t xml:space="preserve">Trampa de Diesel</t>
  </si>
  <si>
    <t xml:space="preserve">Bateria</t>
  </si>
  <si>
    <t xml:space="preserve">year</t>
  </si>
  <si>
    <t xml:space="preserve">2 UND</t>
  </si>
  <si>
    <t xml:space="preserve">Kit Clutch</t>
  </si>
  <si>
    <t xml:space="preserve">1 Kit</t>
  </si>
  <si>
    <t xml:space="preserve">MO Cambio de Clutch</t>
  </si>
  <si>
    <t xml:space="preserve">5/6 H</t>
  </si>
  <si>
    <t xml:space="preserve">Aceite diferencial (85W140)</t>
  </si>
  <si>
    <t xml:space="preserve">4/6 L</t>
  </si>
  <si>
    <t xml:space="preserve">Aceite de Caja (85W190)</t>
  </si>
  <si>
    <t xml:space="preserve">4/5.5 L</t>
  </si>
  <si>
    <t xml:space="preserve">MO Diferencial y Caja</t>
  </si>
  <si>
    <t xml:space="preserve">1.5 H</t>
  </si>
  <si>
    <t xml:space="preserve">Mantenimiento Arrancador</t>
  </si>
  <si>
    <t xml:space="preserve">Monitoreo Sensores/Computadora</t>
  </si>
  <si>
    <t xml:space="preserve">1 Escaneo</t>
  </si>
  <si>
    <t xml:space="preserve">Bomba de Agua</t>
  </si>
  <si>
    <t xml:space="preserve">MO Cambio Balancines/Tensores</t>
  </si>
  <si>
    <t xml:space="preserve">3/4 H</t>
  </si>
  <si>
    <t xml:space="preserve">Balancines</t>
  </si>
  <si>
    <t xml:space="preserve">1 Juego</t>
  </si>
  <si>
    <t xml:space="preserve">Tensores</t>
  </si>
  <si>
    <t xml:space="preserve">Rach</t>
  </si>
  <si>
    <t xml:space="preserve">Empastado Zapatas 4 Puntas</t>
  </si>
  <si>
    <t xml:space="preserve">Juego de Llantas (6 Nuevas)</t>
  </si>
  <si>
    <t xml:space="preserve">6 UND</t>
  </si>
  <si>
    <t xml:space="preserve">2 Cojinetes de Rueda / UND</t>
  </si>
  <si>
    <t xml:space="preserve">Valvula Compensadora de Bolsas</t>
  </si>
  <si>
    <t xml:space="preserve">Bolsas / UND</t>
  </si>
  <si>
    <t xml:space="preserve">Rampa Hidraulica / UND</t>
  </si>
  <si>
    <t xml:space="preserve">Shocks / UND</t>
  </si>
  <si>
    <t xml:space="preserve">King Pin</t>
  </si>
  <si>
    <t xml:space="preserve">Crucetas / UND</t>
  </si>
  <si>
    <t xml:space="preserve">Cojinete Cardan c/Base</t>
  </si>
  <si>
    <t xml:space="preserve">Refuerzo de Resorte / UND</t>
  </si>
  <si>
    <t xml:space="preserve">Forrado de Madera / UND</t>
  </si>
  <si>
    <t xml:space="preserve">Piso / UND</t>
  </si>
  <si>
    <t xml:space="preserve">Persiana / UND</t>
  </si>
  <si>
    <t xml:space="preserve">Costo/KM total (T3, tipo activo)</t>
  </si>
  <si>
    <t xml:space="preserve">Nota: la columna '₡/KM activo' se muestra tal como fue provista por el tablero de origen (valores de entrada). Para los componentes de tipo 'year' o 'month' este valor depende de un kilometraje mensual/anual promedio no incluido en los datos originales, por lo que no se recalcula con fórmula.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</si>
</sst>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₡#,##0.00"/>
    <numFmt numFmtId="166" formatCode="\₡#,##0.0000"/>
    <numFmt numFmtId="167" formatCode="\₡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F7A5C"/>
      <name val="Arial"/>
      <family val="0"/>
      <charset val="1"/>
    </font>
    <font>
      <sz val="10"/>
      <name val="Arial"/>
      <family val="2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3F1"/>
        <bgColor rgb="FFD6F5E3"/>
      </patternFill>
    </fill>
    <fill>
      <patternFill patternType="solid">
        <fgColor rgb="FFD6F5E3"/>
        <bgColor rgb="FFE8F3F1"/>
      </patternFill>
    </fill>
    <fill>
      <patternFill patternType="solid">
        <fgColor rgb="FF1F4E4A"/>
        <bgColor rgb="FF003366"/>
      </patternFill>
    </fill>
    <fill>
      <patternFill patternType="solid">
        <fgColor rgb="FFFFF2CC"/>
        <bgColor rgb="FFE8F3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A5C"/>
      <rgbColor rgb="FFCCCCCC"/>
      <rgbColor rgb="FF808080"/>
      <rgbColor rgb="FF9999FF"/>
      <rgbColor rgb="FF993366"/>
      <rgbColor rgb="FFFFF2CC"/>
      <rgbColor rgb="FFE8F3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4" min="3" style="0" width="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4" t="n">
        <v>30</v>
      </c>
    </row>
    <row r="6" customFormat="false" ht="15" hidden="false" customHeight="false" outlineLevel="0" collapsed="false">
      <c r="A6" s="5" t="s">
        <v>3</v>
      </c>
      <c r="B6" s="6" t="n">
        <f aca="false">'Costos Conductor'!B10</f>
        <v>946770.49</v>
      </c>
    </row>
    <row r="7" customFormat="false" ht="15" hidden="false" customHeight="false" outlineLevel="0" collapsed="false">
      <c r="A7" s="5" t="s">
        <v>4</v>
      </c>
      <c r="B7" s="6" t="n">
        <f aca="false">'Costos Ayudante'!B6</f>
        <v>501222.41</v>
      </c>
    </row>
    <row r="8" customFormat="false" ht="15" hidden="false" customHeight="false" outlineLevel="0" collapsed="false">
      <c r="A8" s="5" t="s">
        <v>5</v>
      </c>
      <c r="B8" s="6" t="n">
        <f aca="false">Depreciacion!D5</f>
        <v>277777.777777778</v>
      </c>
    </row>
    <row r="9" customFormat="false" ht="15" hidden="false" customHeight="false" outlineLevel="0" collapsed="false">
      <c r="A9" s="7" t="s">
        <v>6</v>
      </c>
      <c r="B9" s="8" t="n">
        <f aca="false">B6+B7+B8</f>
        <v>1725770.67777778</v>
      </c>
    </row>
    <row r="11" customFormat="false" ht="15" hidden="false" customHeight="false" outlineLevel="0" collapsed="false">
      <c r="A11" s="9" t="s">
        <v>7</v>
      </c>
      <c r="B11" s="10" t="n">
        <f aca="false">B9/B4</f>
        <v>57525.6892592593</v>
      </c>
    </row>
    <row r="13" customFormat="false" ht="15" hidden="false" customHeight="false" outlineLevel="0" collapsed="false">
      <c r="A13" s="5" t="s">
        <v>8</v>
      </c>
      <c r="B13" s="11" t="n">
        <f aca="false">Mantenimiento!I44</f>
        <v>48.8118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9</v>
      </c>
      <c r="B1" s="1"/>
    </row>
    <row r="2" customFormat="false" ht="15" hidden="false" customHeight="false" outlineLevel="0" collapsed="false">
      <c r="A2" s="12" t="s">
        <v>10</v>
      </c>
      <c r="B2" s="12"/>
    </row>
    <row r="3" customFormat="false" ht="15" hidden="false" customHeight="false" outlineLevel="0" collapsed="false">
      <c r="A3" s="13" t="s">
        <v>11</v>
      </c>
      <c r="B3" s="13" t="s">
        <v>12</v>
      </c>
    </row>
    <row r="4" customFormat="false" ht="15" hidden="false" customHeight="false" outlineLevel="0" collapsed="false">
      <c r="A4" s="3" t="s">
        <v>13</v>
      </c>
      <c r="B4" s="14" t="n">
        <v>820600</v>
      </c>
    </row>
    <row r="5" customFormat="false" ht="15" hidden="false" customHeight="false" outlineLevel="0" collapsed="false">
      <c r="A5" s="3" t="s">
        <v>14</v>
      </c>
      <c r="B5" s="14" t="n">
        <v>83333.33</v>
      </c>
    </row>
    <row r="6" customFormat="false" ht="15" hidden="false" customHeight="false" outlineLevel="0" collapsed="false">
      <c r="A6" s="3" t="s">
        <v>15</v>
      </c>
      <c r="B6" s="14" t="n">
        <v>19000</v>
      </c>
    </row>
    <row r="7" customFormat="false" ht="15" hidden="false" customHeight="false" outlineLevel="0" collapsed="false">
      <c r="A7" s="3" t="s">
        <v>16</v>
      </c>
      <c r="B7" s="14" t="n">
        <v>18949.16</v>
      </c>
    </row>
    <row r="8" customFormat="false" ht="15" hidden="false" customHeight="false" outlineLevel="0" collapsed="false">
      <c r="A8" s="3" t="s">
        <v>17</v>
      </c>
      <c r="B8" s="14" t="n">
        <v>888</v>
      </c>
    </row>
    <row r="9" customFormat="false" ht="15" hidden="false" customHeight="false" outlineLevel="0" collapsed="false">
      <c r="A9" s="3" t="s">
        <v>18</v>
      </c>
      <c r="B9" s="14" t="n">
        <v>4000</v>
      </c>
    </row>
    <row r="10" customFormat="false" ht="15" hidden="false" customHeight="false" outlineLevel="0" collapsed="false">
      <c r="A10" s="15" t="s">
        <v>19</v>
      </c>
      <c r="B10" s="16" t="n">
        <f aca="false">SUM(B4:B9)</f>
        <v>946770.49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20</v>
      </c>
      <c r="B1" s="1"/>
    </row>
    <row r="2" customFormat="false" ht="15" hidden="false" customHeight="false" outlineLevel="0" collapsed="false">
      <c r="A2" s="12" t="s">
        <v>21</v>
      </c>
      <c r="B2" s="12"/>
    </row>
    <row r="3" customFormat="false" ht="15" hidden="false" customHeight="false" outlineLevel="0" collapsed="false">
      <c r="A3" s="13" t="s">
        <v>11</v>
      </c>
      <c r="B3" s="13" t="s">
        <v>12</v>
      </c>
    </row>
    <row r="4" customFormat="false" ht="15" hidden="false" customHeight="false" outlineLevel="0" collapsed="false">
      <c r="A4" s="3" t="s">
        <v>22</v>
      </c>
      <c r="B4" s="14" t="n">
        <v>462666.84</v>
      </c>
    </row>
    <row r="5" customFormat="false" ht="15" hidden="false" customHeight="false" outlineLevel="0" collapsed="false">
      <c r="A5" s="3" t="s">
        <v>23</v>
      </c>
      <c r="B5" s="14" t="n">
        <v>38555.57</v>
      </c>
    </row>
    <row r="6" customFormat="false" ht="15" hidden="false" customHeight="false" outlineLevel="0" collapsed="false">
      <c r="A6" s="15" t="s">
        <v>19</v>
      </c>
      <c r="B6" s="16" t="n">
        <f aca="false">SUM(B4:B5)</f>
        <v>501222.41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24</v>
      </c>
      <c r="B1" s="1"/>
      <c r="C1" s="1"/>
      <c r="D1" s="1"/>
    </row>
    <row r="2" customFormat="false" ht="15" hidden="false" customHeight="false" outlineLevel="0" collapsed="false">
      <c r="A2" s="12" t="s">
        <v>25</v>
      </c>
      <c r="B2" s="12"/>
      <c r="C2" s="12"/>
      <c r="D2" s="12"/>
    </row>
    <row r="3" customFormat="false" ht="15" hidden="false" customHeight="false" outlineLevel="0" collapsed="false">
      <c r="A3" s="13" t="s">
        <v>26</v>
      </c>
      <c r="B3" s="13" t="s">
        <v>27</v>
      </c>
      <c r="C3" s="13" t="s">
        <v>28</v>
      </c>
      <c r="D3" s="13" t="s">
        <v>29</v>
      </c>
    </row>
    <row r="4" customFormat="false" ht="15" hidden="false" customHeight="false" outlineLevel="0" collapsed="false">
      <c r="A4" s="3" t="s">
        <v>30</v>
      </c>
      <c r="B4" s="17" t="n">
        <v>10000000</v>
      </c>
      <c r="C4" s="4" t="n">
        <v>60</v>
      </c>
      <c r="D4" s="6" t="n">
        <f aca="false">B4/C4</f>
        <v>166666.666666667</v>
      </c>
    </row>
    <row r="5" customFormat="false" ht="15" hidden="false" customHeight="false" outlineLevel="0" collapsed="false">
      <c r="A5" s="9" t="s">
        <v>31</v>
      </c>
      <c r="B5" s="18" t="n">
        <v>20000000</v>
      </c>
      <c r="C5" s="19" t="n">
        <v>72</v>
      </c>
      <c r="D5" s="20" t="n">
        <f aca="false">B5/C5</f>
        <v>277777.777777778</v>
      </c>
    </row>
    <row r="6" customFormat="false" ht="15" hidden="false" customHeight="false" outlineLevel="0" collapsed="false">
      <c r="A6" s="3" t="s">
        <v>32</v>
      </c>
      <c r="B6" s="17" t="n">
        <v>35000000</v>
      </c>
      <c r="C6" s="4" t="n">
        <v>72</v>
      </c>
      <c r="D6" s="6" t="n">
        <f aca="false">B6/C6</f>
        <v>486111.111111111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2" t="s">
        <v>34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26.85" hidden="false" customHeight="false" outlineLevel="0" collapsed="false">
      <c r="A3" s="13" t="s">
        <v>35</v>
      </c>
      <c r="B3" s="13" t="s">
        <v>26</v>
      </c>
      <c r="C3" s="13" t="s">
        <v>36</v>
      </c>
      <c r="D3" s="13" t="s">
        <v>37</v>
      </c>
      <c r="E3" s="13" t="s">
        <v>38</v>
      </c>
      <c r="F3" s="13" t="s">
        <v>39</v>
      </c>
      <c r="G3" s="13" t="s">
        <v>40</v>
      </c>
      <c r="H3" s="13" t="s">
        <v>41</v>
      </c>
      <c r="I3" s="13" t="s">
        <v>42</v>
      </c>
      <c r="J3" s="13" t="s">
        <v>43</v>
      </c>
    </row>
    <row r="4" customFormat="false" ht="15" hidden="false" customHeight="false" outlineLevel="0" collapsed="false">
      <c r="A4" s="3" t="s">
        <v>44</v>
      </c>
      <c r="B4" s="21" t="s">
        <v>45</v>
      </c>
      <c r="C4" s="4" t="n">
        <v>15000</v>
      </c>
      <c r="D4" s="17" t="n">
        <v>9040</v>
      </c>
      <c r="E4" s="4" t="n">
        <v>15000</v>
      </c>
      <c r="F4" s="17" t="n">
        <v>11300</v>
      </c>
      <c r="G4" s="4" t="n">
        <v>15000</v>
      </c>
      <c r="H4" s="17" t="n">
        <v>15820</v>
      </c>
      <c r="I4" s="22" t="n">
        <v>0.7533</v>
      </c>
      <c r="J4" s="23" t="s">
        <v>46</v>
      </c>
    </row>
    <row r="5" customFormat="false" ht="15" hidden="false" customHeight="false" outlineLevel="0" collapsed="false">
      <c r="A5" s="3" t="s">
        <v>47</v>
      </c>
      <c r="B5" s="21" t="s">
        <v>45</v>
      </c>
      <c r="C5" s="4" t="n">
        <v>15000</v>
      </c>
      <c r="D5" s="17" t="n">
        <v>14464</v>
      </c>
      <c r="E5" s="4" t="n">
        <v>15000</v>
      </c>
      <c r="F5" s="17" t="n">
        <v>18080</v>
      </c>
      <c r="G5" s="4" t="n">
        <v>15000</v>
      </c>
      <c r="H5" s="17" t="n">
        <v>24860</v>
      </c>
      <c r="I5" s="22" t="n">
        <v>1.2053</v>
      </c>
      <c r="J5" s="23" t="s">
        <v>46</v>
      </c>
    </row>
    <row r="6" customFormat="false" ht="15" hidden="false" customHeight="false" outlineLevel="0" collapsed="false">
      <c r="A6" s="3" t="s">
        <v>48</v>
      </c>
      <c r="B6" s="21" t="s">
        <v>45</v>
      </c>
      <c r="C6" s="4" t="n">
        <v>5000</v>
      </c>
      <c r="D6" s="17" t="n">
        <v>7232</v>
      </c>
      <c r="E6" s="4" t="n">
        <v>5000</v>
      </c>
      <c r="F6" s="17" t="n">
        <v>9040</v>
      </c>
      <c r="G6" s="4" t="n">
        <v>5000</v>
      </c>
      <c r="H6" s="17" t="n">
        <v>13560</v>
      </c>
      <c r="I6" s="22" t="n">
        <v>1.808</v>
      </c>
      <c r="J6" s="23" t="s">
        <v>46</v>
      </c>
    </row>
    <row r="7" customFormat="false" ht="15" hidden="false" customHeight="false" outlineLevel="0" collapsed="false">
      <c r="A7" s="3" t="s">
        <v>49</v>
      </c>
      <c r="B7" s="21" t="s">
        <v>45</v>
      </c>
      <c r="C7" s="4" t="n">
        <v>5000</v>
      </c>
      <c r="D7" s="17" t="n">
        <v>28928</v>
      </c>
      <c r="E7" s="4" t="n">
        <v>5000</v>
      </c>
      <c r="F7" s="17" t="n">
        <v>36160</v>
      </c>
      <c r="G7" s="4" t="n">
        <v>5000</v>
      </c>
      <c r="H7" s="17" t="n">
        <v>51980</v>
      </c>
      <c r="I7" s="22" t="n">
        <v>7.232</v>
      </c>
      <c r="J7" s="23" t="s">
        <v>50</v>
      </c>
    </row>
    <row r="8" customFormat="false" ht="15" hidden="false" customHeight="false" outlineLevel="0" collapsed="false">
      <c r="A8" s="3" t="s">
        <v>51</v>
      </c>
      <c r="B8" s="21" t="s">
        <v>45</v>
      </c>
      <c r="C8" s="4" t="n">
        <v>5000</v>
      </c>
      <c r="D8" s="17" t="n">
        <v>7232</v>
      </c>
      <c r="E8" s="4" t="n">
        <v>5000</v>
      </c>
      <c r="F8" s="17" t="n">
        <v>9040</v>
      </c>
      <c r="G8" s="4" t="n">
        <v>5000</v>
      </c>
      <c r="H8" s="17" t="n">
        <v>13560</v>
      </c>
      <c r="I8" s="22" t="n">
        <v>1.808</v>
      </c>
      <c r="J8" s="23" t="s">
        <v>52</v>
      </c>
    </row>
    <row r="9" customFormat="false" ht="15" hidden="false" customHeight="false" outlineLevel="0" collapsed="false">
      <c r="A9" s="3" t="s">
        <v>53</v>
      </c>
      <c r="B9" s="21" t="s">
        <v>45</v>
      </c>
      <c r="C9" s="4" t="n">
        <v>20000</v>
      </c>
      <c r="D9" s="17" t="n">
        <v>12656</v>
      </c>
      <c r="E9" s="4" t="n">
        <v>20000</v>
      </c>
      <c r="F9" s="17" t="n">
        <v>15820</v>
      </c>
      <c r="G9" s="4" t="n">
        <v>20000</v>
      </c>
      <c r="H9" s="17" t="n">
        <v>20340</v>
      </c>
      <c r="I9" s="22" t="n">
        <v>0.791</v>
      </c>
      <c r="J9" s="23" t="s">
        <v>54</v>
      </c>
    </row>
    <row r="10" customFormat="false" ht="15" hidden="false" customHeight="false" outlineLevel="0" collapsed="false">
      <c r="A10" s="3" t="s">
        <v>55</v>
      </c>
      <c r="B10" s="21" t="s">
        <v>45</v>
      </c>
      <c r="C10" s="4" t="n">
        <v>10000</v>
      </c>
      <c r="D10" s="17" t="n">
        <v>5424</v>
      </c>
      <c r="E10" s="4" t="n">
        <v>10000</v>
      </c>
      <c r="F10" s="17" t="n">
        <v>6780</v>
      </c>
      <c r="G10" s="4" t="n">
        <v>10000</v>
      </c>
      <c r="H10" s="17" t="n">
        <v>9040</v>
      </c>
      <c r="I10" s="22" t="n">
        <v>0.678</v>
      </c>
      <c r="J10" s="23" t="s">
        <v>52</v>
      </c>
    </row>
    <row r="11" customFormat="false" ht="15" hidden="false" customHeight="false" outlineLevel="0" collapsed="false">
      <c r="A11" s="3" t="s">
        <v>56</v>
      </c>
      <c r="B11" s="21" t="s">
        <v>45</v>
      </c>
      <c r="C11" s="4" t="n">
        <v>10000</v>
      </c>
      <c r="D11" s="17" t="n">
        <v>7232</v>
      </c>
      <c r="E11" s="4" t="n">
        <v>10000</v>
      </c>
      <c r="F11" s="17" t="n">
        <v>9040</v>
      </c>
      <c r="G11" s="4" t="n">
        <v>10000</v>
      </c>
      <c r="H11" s="17" t="n">
        <v>11300</v>
      </c>
      <c r="I11" s="22" t="n">
        <v>0.904</v>
      </c>
      <c r="J11" s="23" t="s">
        <v>57</v>
      </c>
    </row>
    <row r="12" customFormat="false" ht="15" hidden="false" customHeight="false" outlineLevel="0" collapsed="false">
      <c r="A12" s="3" t="s">
        <v>58</v>
      </c>
      <c r="B12" s="21" t="s">
        <v>59</v>
      </c>
      <c r="C12" s="4" t="n">
        <v>1</v>
      </c>
      <c r="D12" s="17" t="n">
        <v>9040</v>
      </c>
      <c r="E12" s="4" t="n">
        <v>1</v>
      </c>
      <c r="F12" s="17" t="n">
        <v>11300</v>
      </c>
      <c r="G12" s="4" t="n">
        <v>1</v>
      </c>
      <c r="H12" s="17" t="n">
        <v>13560</v>
      </c>
      <c r="I12" s="22" t="n">
        <v>3.7667</v>
      </c>
      <c r="J12" s="23" t="s">
        <v>60</v>
      </c>
    </row>
    <row r="13" customFormat="false" ht="15" hidden="false" customHeight="false" outlineLevel="0" collapsed="false">
      <c r="A13" s="3" t="s">
        <v>61</v>
      </c>
      <c r="B13" s="21" t="s">
        <v>59</v>
      </c>
      <c r="C13" s="4" t="n">
        <v>1</v>
      </c>
      <c r="D13" s="17" t="n">
        <v>9040</v>
      </c>
      <c r="E13" s="4" t="n">
        <v>1</v>
      </c>
      <c r="F13" s="17" t="n">
        <v>11300</v>
      </c>
      <c r="G13" s="4" t="n">
        <v>1</v>
      </c>
      <c r="H13" s="17" t="n">
        <v>13560</v>
      </c>
      <c r="I13" s="22" t="n">
        <v>3.7667</v>
      </c>
      <c r="J13" s="23" t="s">
        <v>46</v>
      </c>
    </row>
    <row r="14" customFormat="false" ht="15" hidden="false" customHeight="false" outlineLevel="0" collapsed="false">
      <c r="A14" s="3" t="s">
        <v>62</v>
      </c>
      <c r="B14" s="21" t="s">
        <v>45</v>
      </c>
      <c r="C14" s="4" t="n">
        <v>25000</v>
      </c>
      <c r="D14" s="17" t="n">
        <v>21696</v>
      </c>
      <c r="E14" s="4" t="n">
        <v>25000</v>
      </c>
      <c r="F14" s="17" t="n">
        <v>27120</v>
      </c>
      <c r="G14" s="4" t="n">
        <v>22000</v>
      </c>
      <c r="H14" s="17" t="n">
        <v>36160</v>
      </c>
      <c r="I14" s="22" t="n">
        <v>1.0848</v>
      </c>
      <c r="J14" s="23" t="s">
        <v>63</v>
      </c>
    </row>
    <row r="15" customFormat="false" ht="15" hidden="false" customHeight="false" outlineLevel="0" collapsed="false">
      <c r="A15" s="3" t="s">
        <v>64</v>
      </c>
      <c r="B15" s="21" t="s">
        <v>45</v>
      </c>
      <c r="C15" s="4" t="n">
        <v>10000</v>
      </c>
      <c r="D15" s="17" t="n">
        <v>12656</v>
      </c>
      <c r="E15" s="4" t="n">
        <v>10000</v>
      </c>
      <c r="F15" s="17" t="n">
        <v>15820</v>
      </c>
      <c r="G15" s="4" t="n">
        <v>10000</v>
      </c>
      <c r="H15" s="17" t="n">
        <v>20340</v>
      </c>
      <c r="I15" s="22" t="n">
        <v>1.582</v>
      </c>
      <c r="J15" s="23" t="s">
        <v>46</v>
      </c>
    </row>
    <row r="16" customFormat="false" ht="15" hidden="false" customHeight="false" outlineLevel="0" collapsed="false">
      <c r="A16" s="3" t="s">
        <v>65</v>
      </c>
      <c r="B16" s="21" t="s">
        <v>45</v>
      </c>
      <c r="C16" s="4" t="n">
        <v>10000</v>
      </c>
      <c r="D16" s="17" t="n">
        <v>10848</v>
      </c>
      <c r="E16" s="4" t="n">
        <v>10000</v>
      </c>
      <c r="F16" s="17" t="n">
        <v>13560</v>
      </c>
      <c r="G16" s="4" t="n">
        <v>10000</v>
      </c>
      <c r="H16" s="17" t="n">
        <v>18080</v>
      </c>
      <c r="I16" s="22" t="n">
        <v>1.356</v>
      </c>
      <c r="J16" s="23" t="s">
        <v>46</v>
      </c>
    </row>
    <row r="17" customFormat="false" ht="15" hidden="false" customHeight="false" outlineLevel="0" collapsed="false">
      <c r="A17" s="3" t="s">
        <v>66</v>
      </c>
      <c r="B17" s="21" t="s">
        <v>67</v>
      </c>
      <c r="C17" s="4" t="n">
        <v>2</v>
      </c>
      <c r="D17" s="17" t="n">
        <v>72320</v>
      </c>
      <c r="E17" s="4" t="n">
        <v>2</v>
      </c>
      <c r="F17" s="17" t="n">
        <v>90400</v>
      </c>
      <c r="G17" s="4" t="n">
        <v>2</v>
      </c>
      <c r="H17" s="17" t="n">
        <v>113000</v>
      </c>
      <c r="I17" s="22" t="n">
        <v>1.2556</v>
      </c>
      <c r="J17" s="23" t="s">
        <v>68</v>
      </c>
    </row>
    <row r="18" customFormat="false" ht="15" hidden="false" customHeight="false" outlineLevel="0" collapsed="false">
      <c r="A18" s="3" t="s">
        <v>69</v>
      </c>
      <c r="B18" s="21" t="s">
        <v>45</v>
      </c>
      <c r="C18" s="4" t="n">
        <v>70000</v>
      </c>
      <c r="D18" s="17" t="n">
        <v>130176</v>
      </c>
      <c r="E18" s="4" t="n">
        <v>70000</v>
      </c>
      <c r="F18" s="17" t="n">
        <v>162720</v>
      </c>
      <c r="G18" s="4" t="n">
        <v>65000</v>
      </c>
      <c r="H18" s="17" t="n">
        <v>226000</v>
      </c>
      <c r="I18" s="22" t="n">
        <v>2.3246</v>
      </c>
      <c r="J18" s="23" t="s">
        <v>70</v>
      </c>
    </row>
    <row r="19" customFormat="false" ht="15" hidden="false" customHeight="false" outlineLevel="0" collapsed="false">
      <c r="A19" s="3" t="s">
        <v>71</v>
      </c>
      <c r="B19" s="21" t="s">
        <v>45</v>
      </c>
      <c r="C19" s="4" t="n">
        <v>70000</v>
      </c>
      <c r="D19" s="17" t="n">
        <v>43392</v>
      </c>
      <c r="E19" s="4" t="n">
        <v>70000</v>
      </c>
      <c r="F19" s="17" t="n">
        <v>54240</v>
      </c>
      <c r="G19" s="4" t="n">
        <v>65000</v>
      </c>
      <c r="H19" s="17" t="n">
        <v>81360</v>
      </c>
      <c r="I19" s="22" t="n">
        <v>0.7749</v>
      </c>
      <c r="J19" s="23" t="s">
        <v>72</v>
      </c>
    </row>
    <row r="20" customFormat="false" ht="15" hidden="false" customHeight="false" outlineLevel="0" collapsed="false">
      <c r="A20" s="3" t="s">
        <v>73</v>
      </c>
      <c r="B20" s="21" t="s">
        <v>45</v>
      </c>
      <c r="C20" s="4" t="n">
        <v>40000</v>
      </c>
      <c r="D20" s="17" t="n">
        <v>16272</v>
      </c>
      <c r="E20" s="4" t="n">
        <v>40000</v>
      </c>
      <c r="F20" s="17" t="n">
        <v>20340</v>
      </c>
      <c r="G20" s="4" t="n">
        <v>40000</v>
      </c>
      <c r="H20" s="17" t="n">
        <v>29380</v>
      </c>
      <c r="I20" s="22" t="n">
        <v>0.5085</v>
      </c>
      <c r="J20" s="23" t="s">
        <v>74</v>
      </c>
    </row>
    <row r="21" customFormat="false" ht="15" hidden="false" customHeight="false" outlineLevel="0" collapsed="false">
      <c r="A21" s="3" t="s">
        <v>75</v>
      </c>
      <c r="B21" s="21" t="s">
        <v>45</v>
      </c>
      <c r="C21" s="4" t="n">
        <v>40000</v>
      </c>
      <c r="D21" s="17" t="n">
        <v>16272</v>
      </c>
      <c r="E21" s="4" t="n">
        <v>40000</v>
      </c>
      <c r="F21" s="17" t="n">
        <v>20340</v>
      </c>
      <c r="G21" s="4" t="n">
        <v>40000</v>
      </c>
      <c r="H21" s="17" t="n">
        <v>27120</v>
      </c>
      <c r="I21" s="22" t="n">
        <v>0.5085</v>
      </c>
      <c r="J21" s="23" t="s">
        <v>76</v>
      </c>
    </row>
    <row r="22" customFormat="false" ht="15" hidden="false" customHeight="false" outlineLevel="0" collapsed="false">
      <c r="A22" s="3" t="s">
        <v>77</v>
      </c>
      <c r="B22" s="21" t="s">
        <v>45</v>
      </c>
      <c r="C22" s="4" t="n">
        <v>40000</v>
      </c>
      <c r="D22" s="17" t="n">
        <v>14464</v>
      </c>
      <c r="E22" s="4" t="n">
        <v>40000</v>
      </c>
      <c r="F22" s="17" t="n">
        <v>18080</v>
      </c>
      <c r="G22" s="4" t="n">
        <v>40000</v>
      </c>
      <c r="H22" s="17" t="n">
        <v>22600</v>
      </c>
      <c r="I22" s="22" t="n">
        <v>0.452</v>
      </c>
      <c r="J22" s="23" t="s">
        <v>78</v>
      </c>
    </row>
    <row r="23" customFormat="false" ht="15" hidden="false" customHeight="false" outlineLevel="0" collapsed="false">
      <c r="A23" s="3" t="s">
        <v>79</v>
      </c>
      <c r="B23" s="21" t="s">
        <v>45</v>
      </c>
      <c r="C23" s="4" t="n">
        <v>80000</v>
      </c>
      <c r="D23" s="17" t="n">
        <v>50624</v>
      </c>
      <c r="E23" s="4" t="n">
        <v>80000</v>
      </c>
      <c r="F23" s="17" t="n">
        <v>63280</v>
      </c>
      <c r="G23" s="4" t="n">
        <v>80000</v>
      </c>
      <c r="H23" s="17" t="n">
        <v>85880</v>
      </c>
      <c r="I23" s="22" t="n">
        <v>0.791</v>
      </c>
      <c r="J23" s="23" t="s">
        <v>52</v>
      </c>
    </row>
    <row r="24" customFormat="false" ht="15" hidden="false" customHeight="false" outlineLevel="0" collapsed="false">
      <c r="A24" s="3" t="s">
        <v>80</v>
      </c>
      <c r="B24" s="21" t="s">
        <v>45</v>
      </c>
      <c r="C24" s="4" t="n">
        <v>10000</v>
      </c>
      <c r="D24" s="17" t="n">
        <v>16272</v>
      </c>
      <c r="E24" s="4" t="n">
        <v>10000</v>
      </c>
      <c r="F24" s="17" t="n">
        <v>20340</v>
      </c>
      <c r="G24" s="4" t="n">
        <v>10000</v>
      </c>
      <c r="H24" s="17" t="n">
        <v>24860</v>
      </c>
      <c r="I24" s="22" t="n">
        <v>2.034</v>
      </c>
      <c r="J24" s="23" t="s">
        <v>81</v>
      </c>
    </row>
    <row r="25" customFormat="false" ht="15" hidden="false" customHeight="false" outlineLevel="0" collapsed="false">
      <c r="A25" s="3" t="s">
        <v>82</v>
      </c>
      <c r="B25" s="21" t="s">
        <v>45</v>
      </c>
      <c r="C25" s="4" t="n">
        <v>120000</v>
      </c>
      <c r="D25" s="17" t="n">
        <v>47008</v>
      </c>
      <c r="E25" s="4" t="n">
        <v>120000</v>
      </c>
      <c r="F25" s="17" t="n">
        <v>58760</v>
      </c>
      <c r="G25" s="4" t="n">
        <v>100000</v>
      </c>
      <c r="H25" s="17" t="n">
        <v>81360</v>
      </c>
      <c r="I25" s="22" t="n">
        <v>0.4897</v>
      </c>
      <c r="J25" s="23" t="s">
        <v>46</v>
      </c>
    </row>
    <row r="26" customFormat="false" ht="15" hidden="false" customHeight="false" outlineLevel="0" collapsed="false">
      <c r="A26" s="3" t="s">
        <v>83</v>
      </c>
      <c r="B26" s="21" t="s">
        <v>45</v>
      </c>
      <c r="C26" s="4" t="n">
        <v>100000</v>
      </c>
      <c r="D26" s="17" t="n">
        <v>32544</v>
      </c>
      <c r="E26" s="4" t="n">
        <v>100000</v>
      </c>
      <c r="F26" s="17" t="n">
        <v>40680</v>
      </c>
      <c r="G26" s="4" t="n">
        <v>100000</v>
      </c>
      <c r="H26" s="17" t="n">
        <v>54240</v>
      </c>
      <c r="I26" s="22" t="n">
        <v>0.4068</v>
      </c>
      <c r="J26" s="23" t="s">
        <v>84</v>
      </c>
    </row>
    <row r="27" customFormat="false" ht="15" hidden="false" customHeight="false" outlineLevel="0" collapsed="false">
      <c r="A27" s="3" t="s">
        <v>85</v>
      </c>
      <c r="B27" s="21" t="s">
        <v>45</v>
      </c>
      <c r="C27" s="4" t="n">
        <v>100000</v>
      </c>
      <c r="D27" s="17" t="n">
        <v>39776</v>
      </c>
      <c r="E27" s="4" t="n">
        <v>100000</v>
      </c>
      <c r="F27" s="17" t="n">
        <v>49720</v>
      </c>
      <c r="G27" s="4" t="n">
        <v>100000</v>
      </c>
      <c r="H27" s="17" t="n">
        <v>67800</v>
      </c>
      <c r="I27" s="22" t="n">
        <v>0.4972</v>
      </c>
      <c r="J27" s="23" t="s">
        <v>86</v>
      </c>
    </row>
    <row r="28" customFormat="false" ht="15" hidden="false" customHeight="false" outlineLevel="0" collapsed="false">
      <c r="A28" s="3" t="s">
        <v>87</v>
      </c>
      <c r="B28" s="21" t="s">
        <v>45</v>
      </c>
      <c r="C28" s="4" t="n">
        <v>100000</v>
      </c>
      <c r="D28" s="17" t="n">
        <v>25312</v>
      </c>
      <c r="E28" s="4" t="n">
        <v>100000</v>
      </c>
      <c r="F28" s="17" t="n">
        <v>31640</v>
      </c>
      <c r="G28" s="4" t="n">
        <v>100000</v>
      </c>
      <c r="H28" s="17" t="n">
        <v>42940</v>
      </c>
      <c r="I28" s="22" t="n">
        <v>0.3164</v>
      </c>
      <c r="J28" s="23" t="s">
        <v>46</v>
      </c>
    </row>
    <row r="29" customFormat="false" ht="15" hidden="false" customHeight="false" outlineLevel="0" collapsed="false">
      <c r="A29" s="3" t="s">
        <v>88</v>
      </c>
      <c r="B29" s="21" t="s">
        <v>45</v>
      </c>
      <c r="C29" s="4" t="n">
        <v>60000</v>
      </c>
      <c r="D29" s="17" t="n">
        <v>18080</v>
      </c>
      <c r="E29" s="4" t="n">
        <v>60000</v>
      </c>
      <c r="F29" s="17" t="n">
        <v>22600</v>
      </c>
      <c r="G29" s="4" t="n">
        <v>60000</v>
      </c>
      <c r="H29" s="17" t="n">
        <v>33900</v>
      </c>
      <c r="I29" s="22" t="n">
        <v>0.3767</v>
      </c>
      <c r="J29" s="23" t="s">
        <v>68</v>
      </c>
    </row>
    <row r="30" customFormat="false" ht="15" hidden="false" customHeight="false" outlineLevel="0" collapsed="false">
      <c r="A30" s="3" t="s">
        <v>89</v>
      </c>
      <c r="B30" s="21" t="s">
        <v>45</v>
      </c>
      <c r="C30" s="4" t="n">
        <v>50000</v>
      </c>
      <c r="D30" s="17" t="n">
        <v>39776</v>
      </c>
      <c r="E30" s="4" t="n">
        <v>50000</v>
      </c>
      <c r="F30" s="17" t="n">
        <v>49720</v>
      </c>
      <c r="G30" s="4" t="n">
        <v>45000</v>
      </c>
      <c r="H30" s="17" t="n">
        <v>72320</v>
      </c>
      <c r="I30" s="22" t="n">
        <v>0.9944</v>
      </c>
      <c r="J30" s="23" t="s">
        <v>86</v>
      </c>
    </row>
    <row r="31" customFormat="false" ht="15" hidden="false" customHeight="false" outlineLevel="0" collapsed="false">
      <c r="A31" s="3" t="s">
        <v>90</v>
      </c>
      <c r="B31" s="21" t="s">
        <v>45</v>
      </c>
      <c r="C31" s="4" t="n">
        <v>50000</v>
      </c>
      <c r="D31" s="17" t="n">
        <v>325440</v>
      </c>
      <c r="E31" s="4" t="n">
        <v>50000</v>
      </c>
      <c r="F31" s="17" t="n">
        <v>406800</v>
      </c>
      <c r="G31" s="4" t="n">
        <v>45000</v>
      </c>
      <c r="H31" s="17" t="n">
        <v>569520</v>
      </c>
      <c r="I31" s="22" t="n">
        <v>8.136</v>
      </c>
      <c r="J31" s="23" t="s">
        <v>91</v>
      </c>
    </row>
    <row r="32" customFormat="false" ht="15" hidden="false" customHeight="false" outlineLevel="0" collapsed="false">
      <c r="A32" s="3" t="s">
        <v>92</v>
      </c>
      <c r="B32" s="21" t="s">
        <v>67</v>
      </c>
      <c r="C32" s="4" t="n">
        <v>4</v>
      </c>
      <c r="D32" s="17" t="n">
        <v>10848</v>
      </c>
      <c r="E32" s="4" t="n">
        <v>4</v>
      </c>
      <c r="F32" s="17" t="n">
        <v>13560</v>
      </c>
      <c r="G32" s="4" t="n">
        <v>4</v>
      </c>
      <c r="H32" s="17" t="n">
        <v>18080</v>
      </c>
      <c r="I32" s="22" t="n">
        <v>0.0942</v>
      </c>
      <c r="J32" s="23" t="s">
        <v>46</v>
      </c>
    </row>
    <row r="33" customFormat="false" ht="15" hidden="false" customHeight="false" outlineLevel="0" collapsed="false">
      <c r="A33" s="3" t="s">
        <v>93</v>
      </c>
      <c r="B33" s="21" t="s">
        <v>67</v>
      </c>
      <c r="C33" s="4" t="n">
        <v>5</v>
      </c>
      <c r="D33" s="17" t="n">
        <v>10848</v>
      </c>
      <c r="E33" s="4" t="n">
        <v>5</v>
      </c>
      <c r="F33" s="17" t="n">
        <v>13560</v>
      </c>
      <c r="G33" s="4" t="n">
        <v>5</v>
      </c>
      <c r="H33" s="17" t="n">
        <v>17176</v>
      </c>
      <c r="I33" s="22" t="n">
        <v>0.0753</v>
      </c>
      <c r="J33" s="23" t="s">
        <v>46</v>
      </c>
    </row>
    <row r="34" customFormat="false" ht="15" hidden="false" customHeight="false" outlineLevel="0" collapsed="false">
      <c r="A34" s="3" t="s">
        <v>94</v>
      </c>
      <c r="B34" s="21" t="s">
        <v>67</v>
      </c>
      <c r="C34" s="4" t="n">
        <v>4</v>
      </c>
      <c r="D34" s="17" t="n">
        <v>21696</v>
      </c>
      <c r="E34" s="4" t="n">
        <v>4</v>
      </c>
      <c r="F34" s="17" t="n">
        <v>27120</v>
      </c>
      <c r="G34" s="4" t="n">
        <v>4</v>
      </c>
      <c r="H34" s="17" t="n">
        <v>36160</v>
      </c>
      <c r="I34" s="22" t="n">
        <v>0.1883</v>
      </c>
      <c r="J34" s="23" t="s">
        <v>46</v>
      </c>
    </row>
    <row r="35" customFormat="false" ht="15" hidden="false" customHeight="false" outlineLevel="0" collapsed="false">
      <c r="A35" s="3" t="s">
        <v>95</v>
      </c>
      <c r="B35" s="21" t="s">
        <v>67</v>
      </c>
      <c r="C35" s="4" t="n">
        <v>8</v>
      </c>
      <c r="D35" s="17" t="n">
        <v>144640</v>
      </c>
      <c r="E35" s="4" t="n">
        <v>8</v>
      </c>
      <c r="F35" s="17" t="n">
        <v>180800</v>
      </c>
      <c r="G35" s="4" t="n">
        <v>8</v>
      </c>
      <c r="H35" s="17" t="n">
        <v>254250</v>
      </c>
      <c r="I35" s="22" t="n">
        <v>0.6278</v>
      </c>
      <c r="J35" s="23" t="s">
        <v>46</v>
      </c>
    </row>
    <row r="36" customFormat="false" ht="15" hidden="false" customHeight="false" outlineLevel="0" collapsed="false">
      <c r="A36" s="3" t="s">
        <v>96</v>
      </c>
      <c r="B36" s="21" t="s">
        <v>67</v>
      </c>
      <c r="C36" s="4" t="n">
        <v>3</v>
      </c>
      <c r="D36" s="17" t="n">
        <v>21696</v>
      </c>
      <c r="E36" s="4" t="n">
        <v>3</v>
      </c>
      <c r="F36" s="17" t="n">
        <v>27120</v>
      </c>
      <c r="G36" s="4" t="n">
        <v>3</v>
      </c>
      <c r="H36" s="17" t="n">
        <v>36160</v>
      </c>
      <c r="I36" s="22" t="n">
        <v>0.2511</v>
      </c>
      <c r="J36" s="23" t="s">
        <v>46</v>
      </c>
    </row>
    <row r="37" customFormat="false" ht="15" hidden="false" customHeight="false" outlineLevel="0" collapsed="false">
      <c r="A37" s="3" t="s">
        <v>97</v>
      </c>
      <c r="B37" s="21" t="s">
        <v>67</v>
      </c>
      <c r="C37" s="4" t="n">
        <v>5</v>
      </c>
      <c r="D37" s="17" t="n">
        <v>18080</v>
      </c>
      <c r="E37" s="4" t="n">
        <v>5</v>
      </c>
      <c r="F37" s="17" t="n">
        <v>22600</v>
      </c>
      <c r="G37" s="4" t="n">
        <v>4</v>
      </c>
      <c r="H37" s="17" t="n">
        <v>39550</v>
      </c>
      <c r="I37" s="22" t="n">
        <v>0.1256</v>
      </c>
      <c r="J37" s="23" t="s">
        <v>46</v>
      </c>
    </row>
    <row r="38" customFormat="false" ht="15" hidden="false" customHeight="false" outlineLevel="0" collapsed="false">
      <c r="A38" s="3" t="s">
        <v>98</v>
      </c>
      <c r="B38" s="21" t="s">
        <v>67</v>
      </c>
      <c r="C38" s="4" t="n">
        <v>3</v>
      </c>
      <c r="D38" s="17" t="n">
        <v>10848</v>
      </c>
      <c r="E38" s="4" t="n">
        <v>3</v>
      </c>
      <c r="F38" s="17" t="n">
        <v>13560</v>
      </c>
      <c r="G38" s="4" t="n">
        <v>3</v>
      </c>
      <c r="H38" s="17" t="n">
        <v>20340</v>
      </c>
      <c r="I38" s="22" t="n">
        <v>0.1256</v>
      </c>
      <c r="J38" s="23" t="s">
        <v>46</v>
      </c>
    </row>
    <row r="39" customFormat="false" ht="15" hidden="false" customHeight="false" outlineLevel="0" collapsed="false">
      <c r="A39" s="3" t="s">
        <v>99</v>
      </c>
      <c r="B39" s="21" t="s">
        <v>67</v>
      </c>
      <c r="C39" s="4" t="n">
        <v>4</v>
      </c>
      <c r="D39" s="17" t="n">
        <v>9944</v>
      </c>
      <c r="E39" s="4" t="n">
        <v>4</v>
      </c>
      <c r="F39" s="17" t="n">
        <v>12430</v>
      </c>
      <c r="G39" s="4" t="n">
        <v>4</v>
      </c>
      <c r="H39" s="17" t="n">
        <v>18080</v>
      </c>
      <c r="I39" s="22" t="n">
        <v>0.0863</v>
      </c>
      <c r="J39" s="23" t="s">
        <v>46</v>
      </c>
    </row>
    <row r="40" customFormat="false" ht="15" hidden="false" customHeight="false" outlineLevel="0" collapsed="false">
      <c r="A40" s="3" t="s">
        <v>100</v>
      </c>
      <c r="B40" s="21" t="s">
        <v>67</v>
      </c>
      <c r="C40" s="4" t="n">
        <v>5</v>
      </c>
      <c r="D40" s="17" t="n">
        <v>14464</v>
      </c>
      <c r="E40" s="4" t="n">
        <v>5</v>
      </c>
      <c r="F40" s="17" t="n">
        <v>18080</v>
      </c>
      <c r="G40" s="4" t="n">
        <v>5</v>
      </c>
      <c r="H40" s="17" t="n">
        <v>27120</v>
      </c>
      <c r="I40" s="22" t="n">
        <v>0.1004</v>
      </c>
      <c r="J40" s="23" t="s">
        <v>46</v>
      </c>
    </row>
    <row r="41" customFormat="false" ht="15" hidden="false" customHeight="false" outlineLevel="0" collapsed="false">
      <c r="A41" s="3" t="s">
        <v>101</v>
      </c>
      <c r="B41" s="21" t="s">
        <v>67</v>
      </c>
      <c r="C41" s="4" t="n">
        <v>6</v>
      </c>
      <c r="D41" s="17" t="n">
        <v>28928</v>
      </c>
      <c r="E41" s="4" t="n">
        <v>6</v>
      </c>
      <c r="F41" s="17" t="n">
        <v>36160</v>
      </c>
      <c r="G41" s="4" t="n">
        <v>6</v>
      </c>
      <c r="H41" s="17" t="n">
        <v>45200</v>
      </c>
      <c r="I41" s="22" t="n">
        <v>0.1674</v>
      </c>
      <c r="J41" s="23" t="s">
        <v>46</v>
      </c>
    </row>
    <row r="42" customFormat="false" ht="15" hidden="false" customHeight="false" outlineLevel="0" collapsed="false">
      <c r="A42" s="3" t="s">
        <v>102</v>
      </c>
      <c r="B42" s="21" t="s">
        <v>67</v>
      </c>
      <c r="C42" s="4" t="n">
        <v>8</v>
      </c>
      <c r="D42" s="17" t="n">
        <v>43392</v>
      </c>
      <c r="E42" s="4" t="n">
        <v>8</v>
      </c>
      <c r="F42" s="17" t="n">
        <v>54240</v>
      </c>
      <c r="G42" s="4" t="n">
        <v>8</v>
      </c>
      <c r="H42" s="17" t="n">
        <v>81360</v>
      </c>
      <c r="I42" s="22" t="n">
        <v>0.1883</v>
      </c>
      <c r="J42" s="23" t="s">
        <v>46</v>
      </c>
    </row>
    <row r="43" customFormat="false" ht="15" hidden="false" customHeight="false" outlineLevel="0" collapsed="false">
      <c r="A43" s="3" t="s">
        <v>103</v>
      </c>
      <c r="B43" s="21" t="s">
        <v>67</v>
      </c>
      <c r="C43" s="4" t="n">
        <v>7</v>
      </c>
      <c r="D43" s="17" t="n">
        <v>36160</v>
      </c>
      <c r="E43" s="4" t="n">
        <v>7</v>
      </c>
      <c r="F43" s="17" t="n">
        <v>45200</v>
      </c>
      <c r="G43" s="4" t="n">
        <v>7</v>
      </c>
      <c r="H43" s="17" t="n">
        <v>58760</v>
      </c>
      <c r="I43" s="22" t="n">
        <v>0.1794</v>
      </c>
      <c r="J43" s="23" t="s">
        <v>46</v>
      </c>
    </row>
    <row r="44" customFormat="false" ht="15" hidden="false" customHeight="false" outlineLevel="0" collapsed="false">
      <c r="A44" s="24" t="s">
        <v>104</v>
      </c>
      <c r="B44" s="24"/>
      <c r="C44" s="24"/>
      <c r="D44" s="24"/>
      <c r="E44" s="24"/>
      <c r="F44" s="24"/>
      <c r="G44" s="24"/>
      <c r="H44" s="24"/>
      <c r="I44" s="25" t="n">
        <f aca="false">SUM(I4:I43)</f>
        <v>48.8118</v>
      </c>
      <c r="J44" s="26"/>
    </row>
    <row r="46" customFormat="false" ht="39.75" hidden="false" customHeight="true" outlineLevel="0" collapsed="false">
      <c r="A46" s="27" t="s">
        <v>105</v>
      </c>
      <c r="B46" s="27"/>
      <c r="C46" s="27"/>
      <c r="D46" s="27"/>
      <c r="E46" s="27"/>
      <c r="F46" s="27"/>
      <c r="G46" s="27"/>
      <c r="H46" s="27"/>
      <c r="I46" s="27"/>
      <c r="J46" s="27"/>
    </row>
  </sheetData>
  <mergeCells count="4">
    <mergeCell ref="A1:J1"/>
    <mergeCell ref="A2:J2"/>
    <mergeCell ref="A44:H44"/>
    <mergeCell ref="A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2026-08-25T14:00:48Z</dcterms:created>
  <dc:creator>openpyxl</dc:creator>
  <dc:description/>
  <dc:language>en-US</dc:language>
  <cp:lastModifiedBy/>
  <dcterms:modified xsi:type="dcterms:W3CDTF">2026-08-25T14:00:48Z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